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&amp; Summary Dashboard" sheetId="1" state="visible" r:id="rId1"/>
    <sheet xmlns:r="http://schemas.openxmlformats.org/officeDocument/2006/relationships" name="GlobalAdminOS" sheetId="2" state="visible" r:id="rId2"/>
    <sheet xmlns:r="http://schemas.openxmlformats.org/officeDocument/2006/relationships" name="CommissionerOS" sheetId="3" state="visible" r:id="rId3"/>
    <sheet xmlns:r="http://schemas.openxmlformats.org/officeDocument/2006/relationships" name="DirectorOS" sheetId="4" state="visible" r:id="rId4"/>
    <sheet xmlns:r="http://schemas.openxmlformats.org/officeDocument/2006/relationships" name="CoachOS" sheetId="5" state="visible" r:id="rId5"/>
    <sheet xmlns:r="http://schemas.openxmlformats.org/officeDocument/2006/relationships" name="PlayerOS" sheetId="6" state="visible" r:id="rId6"/>
    <sheet xmlns:r="http://schemas.openxmlformats.org/officeDocument/2006/relationships" name="ParentOS" sheetId="7" state="visible" r:id="rId7"/>
    <sheet xmlns:r="http://schemas.openxmlformats.org/officeDocument/2006/relationships" name="FanOS &amp; Recruiter" sheetId="8" state="visible" r:id="rId8"/>
    <sheet xmlns:r="http://schemas.openxmlformats.org/officeDocument/2006/relationships" name="TutoringMarketpla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color rgb="00555555"/>
      <sz val="10"/>
    </font>
    <font>
      <name val="Calibri"/>
      <b val="1"/>
      <color rgb="001F4E79"/>
      <sz val="12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color rgb="000563C1"/>
      <sz val="11"/>
      <u val="single"/>
    </font>
    <font>
      <name val="Calibri"/>
      <b val="1"/>
      <color rgb="001F5E20"/>
      <sz val="11"/>
    </font>
    <font>
      <name val="Calibri"/>
      <i val="1"/>
      <sz val="10"/>
    </font>
    <font>
      <name val="Calibri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2F5F8"/>
        <bgColor rgb="00F2F5F8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3" pivotButton="0" quotePrefix="0" xfId="0"/>
    <xf numFmtId="0" fontId="5" fillId="3" borderId="3" pivotButton="0" quotePrefix="0" xfId="0"/>
    <xf numFmtId="0" fontId="4" fillId="3" borderId="3" applyAlignment="1" pivotButton="0" quotePrefix="0" xfId="0">
      <alignment horizontal="center" vertical="center" wrapText="1"/>
    </xf>
    <xf numFmtId="164" fontId="4" fillId="3" borderId="3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67" customWidth="1" min="1" max="1"/>
    <col width="84" customWidth="1" min="2" max="2"/>
    <col width="18" customWidth="1" min="3" max="3"/>
    <col width="14" customWidth="1" min="4" max="4"/>
    <col width="17" customWidth="1" min="5" max="5"/>
    <col width="23" customWidth="1" min="6" max="6"/>
    <col width="18" customWidth="1" min="7" max="7"/>
  </cols>
  <sheetData>
    <row r="1"/>
    <row r="2">
      <c r="A2" s="1" t="inlineStr">
        <is>
          <t>SSTracker Enterprise Command Plane</t>
        </is>
      </c>
    </row>
    <row r="3">
      <c r="A3" s="2" t="inlineStr">
        <is>
          <t>Generated: August 22, 2026 | Unified Launch Readiness Matrix v2</t>
        </is>
      </c>
    </row>
    <row r="4"/>
    <row r="5">
      <c r="A5" s="3" t="inlineStr">
        <is>
          <t>Status Legend</t>
        </is>
      </c>
    </row>
    <row r="6">
      <c r="A6" s="4" t="inlineStr">
        <is>
          <t>🟢 Complete</t>
        </is>
      </c>
      <c r="B6" s="5" t="inlineStr">
        <is>
          <t>Feature successfully coded, compiled, and verified via Playwright spec.</t>
        </is>
      </c>
    </row>
    <row r="7">
      <c r="A7" s="4" t="inlineStr">
        <is>
          <t>🟡 In Progress</t>
        </is>
      </c>
      <c r="B7" s="5" t="inlineStr">
        <is>
          <t>Feature is currently being implemented or undergoing test-and-repair iterations.</t>
        </is>
      </c>
    </row>
    <row r="8">
      <c r="A8" s="4" t="inlineStr">
        <is>
          <t>🔴 Missing / Blocked</t>
        </is>
      </c>
      <c r="B8" s="5" t="inlineStr">
        <is>
          <t>No spec or workflow exists; feature block remains un-coded.</t>
        </is>
      </c>
    </row>
    <row r="9"/>
    <row r="10"/>
    <row r="11">
      <c r="A11" s="6" t="inlineStr">
        <is>
          <t>Operating System / Persona</t>
        </is>
      </c>
      <c r="B11" s="6" t="inlineStr">
        <is>
          <t>Target Workspace Path</t>
        </is>
      </c>
      <c r="C11" s="6" t="inlineStr">
        <is>
          <t>Total Features</t>
        </is>
      </c>
      <c r="D11" s="6" t="inlineStr">
        <is>
          <t>🟢 Complete</t>
        </is>
      </c>
      <c r="E11" s="6" t="inlineStr">
        <is>
          <t>🟡 In Progress</t>
        </is>
      </c>
      <c r="F11" s="6" t="inlineStr">
        <is>
          <t>🔴 Missing / Blocked</t>
        </is>
      </c>
      <c r="G11" s="6" t="inlineStr">
        <is>
          <t>Launch-Ready %</t>
        </is>
      </c>
    </row>
    <row r="12">
      <c r="A12" s="7">
        <f>HYPERLINK("#'GlobalAdminOS'!A1", "Global Admin OS")</f>
        <v/>
      </c>
      <c r="B12" s="8" t="inlineStr">
        <is>
          <t>src/routes/(app)/admin/*</t>
        </is>
      </c>
      <c r="C12" s="9">
        <f>COUNTA('GlobalAdminOS'!A5:A50)</f>
        <v/>
      </c>
      <c r="D12" s="10">
        <f>COUNTIF('GlobalAdminOS'!G5:G50, "🟢 Complete")</f>
        <v/>
      </c>
      <c r="E12" s="10">
        <f>COUNTIF('GlobalAdminOS'!G5:G50, "🟡 In Progress")</f>
        <v/>
      </c>
      <c r="F12" s="10">
        <f>COUNTIF('GlobalAdminOS'!G5:G50, "🔴 Missing / Blocked")</f>
        <v/>
      </c>
      <c r="G12" s="11">
        <f>IF(C12&gt;0, D12/C12, 0)</f>
        <v/>
      </c>
    </row>
    <row r="13">
      <c r="A13" s="7">
        <f>HYPERLINK("#'CommissionerOS'!A1", "Commissioner OS")</f>
        <v/>
      </c>
      <c r="B13" s="8" t="inlineStr">
        <is>
          <t>src/routes/(app)/commissioner/*</t>
        </is>
      </c>
      <c r="C13" s="9">
        <f>COUNTA('CommissionerOS'!A5:A50)</f>
        <v/>
      </c>
      <c r="D13" s="10">
        <f>COUNTIF('CommissionerOS'!G5:G50, "🟢 Complete")</f>
        <v/>
      </c>
      <c r="E13" s="10">
        <f>COUNTIF('CommissionerOS'!G5:G50, "🟡 In Progress")</f>
        <v/>
      </c>
      <c r="F13" s="10">
        <f>COUNTIF('CommissionerOS'!G5:G50, "🔴 Missing / Blocked")</f>
        <v/>
      </c>
      <c r="G13" s="11">
        <f>IF(C13&gt;0, D13/C13, 0)</f>
        <v/>
      </c>
    </row>
    <row r="14">
      <c r="A14" s="7">
        <f>HYPERLINK("#'DirectorOS'!A1", "Director OS")</f>
        <v/>
      </c>
      <c r="B14" s="8" t="inlineStr">
        <is>
          <t>src/routes/(app)/director/*</t>
        </is>
      </c>
      <c r="C14" s="9">
        <f>COUNTA('DirectorOS'!A5:A50)</f>
        <v/>
      </c>
      <c r="D14" s="10">
        <f>COUNTIF('DirectorOS'!G5:G50, "🟢 Complete")</f>
        <v/>
      </c>
      <c r="E14" s="10">
        <f>COUNTIF('DirectorOS'!G5:G50, "🟡 In Progress")</f>
        <v/>
      </c>
      <c r="F14" s="10">
        <f>COUNTIF('DirectorOS'!G5:G50, "🔴 Missing / Blocked")</f>
        <v/>
      </c>
      <c r="G14" s="11">
        <f>IF(C14&gt;0, D14/C14, 0)</f>
        <v/>
      </c>
    </row>
    <row r="15">
      <c r="A15" s="7">
        <f>HYPERLINK("#'CoachOS'!A1", "Coach OS")</f>
        <v/>
      </c>
      <c r="B15" s="8" t="inlineStr">
        <is>
          <t>src/routes/(app)/coach/*</t>
        </is>
      </c>
      <c r="C15" s="9">
        <f>COUNTA('CoachOS'!A5:A50)</f>
        <v/>
      </c>
      <c r="D15" s="10">
        <f>COUNTIF('CoachOS'!G5:G50, "🟢 Complete")</f>
        <v/>
      </c>
      <c r="E15" s="10">
        <f>COUNTIF('CoachOS'!G5:G50, "🟡 In Progress")</f>
        <v/>
      </c>
      <c r="F15" s="10">
        <f>COUNTIF('CoachOS'!G5:G50, "🔴 Missing / Blocked")</f>
        <v/>
      </c>
      <c r="G15" s="11">
        <f>IF(C15&gt;0, D15/C15, 0)</f>
        <v/>
      </c>
    </row>
    <row r="16">
      <c r="A16" s="7">
        <f>HYPERLINK("#'PlayerOS'!A1", "Player OS")</f>
        <v/>
      </c>
      <c r="B16" s="8" t="inlineStr">
        <is>
          <t>src/routes/(app)/player/*</t>
        </is>
      </c>
      <c r="C16" s="9">
        <f>COUNTA('PlayerOS'!A5:A50)</f>
        <v/>
      </c>
      <c r="D16" s="10">
        <f>COUNTIF('PlayerOS'!G5:G50, "🟢 Complete")</f>
        <v/>
      </c>
      <c r="E16" s="10">
        <f>COUNTIF('PlayerOS'!G5:G50, "🟡 In Progress")</f>
        <v/>
      </c>
      <c r="F16" s="10">
        <f>COUNTIF('PlayerOS'!G5:G50, "🔴 Missing / Blocked")</f>
        <v/>
      </c>
      <c r="G16" s="11">
        <f>IF(C16&gt;0, D16/C16, 0)</f>
        <v/>
      </c>
    </row>
    <row r="17">
      <c r="A17" s="7">
        <f>HYPERLINK("#'ParentOS'!A1", "Parent OS")</f>
        <v/>
      </c>
      <c r="B17" s="8" t="inlineStr">
        <is>
          <t>src/routes/(app)/parent/*</t>
        </is>
      </c>
      <c r="C17" s="9">
        <f>COUNTA('ParentOS'!A5:A50)</f>
        <v/>
      </c>
      <c r="D17" s="10">
        <f>COUNTIF('ParentOS'!G5:G50, "🟢 Complete")</f>
        <v/>
      </c>
      <c r="E17" s="10">
        <f>COUNTIF('ParentOS'!G5:G50, "🟡 In Progress")</f>
        <v/>
      </c>
      <c r="F17" s="10">
        <f>COUNTIF('ParentOS'!G5:G50, "🔴 Missing / Blocked")</f>
        <v/>
      </c>
      <c r="G17" s="11">
        <f>IF(C17&gt;0, D17/C17, 0)</f>
        <v/>
      </c>
    </row>
    <row r="18">
      <c r="A18" s="7">
        <f>HYPERLINK("#'FanOS &amp; Recruiter'!A1", "Fan &amp; Recruiter OS")</f>
        <v/>
      </c>
      <c r="B18" s="8" t="inlineStr">
        <is>
          <t>src/routes/(app)/fan-recruiter/*</t>
        </is>
      </c>
      <c r="C18" s="9">
        <f>COUNTA('FanOS &amp; Recruiter'!A5:A50)</f>
        <v/>
      </c>
      <c r="D18" s="10">
        <f>COUNTIF('FanOS &amp; Recruiter'!G5:G50, "🟢 Complete")</f>
        <v/>
      </c>
      <c r="E18" s="10">
        <f>COUNTIF('FanOS &amp; Recruiter'!G5:G50, "🟡 In Progress")</f>
        <v/>
      </c>
      <c r="F18" s="10">
        <f>COUNTIF('FanOS &amp; Recruiter'!G5:G50, "🔴 Missing / Blocked")</f>
        <v/>
      </c>
      <c r="G18" s="11">
        <f>IF(C18&gt;0, D18/C18, 0)</f>
        <v/>
      </c>
    </row>
    <row r="19">
      <c r="A19" s="7">
        <f>HYPERLINK("#'TutoringMarketplace'!A1", "Tutoring Marketplace")</f>
        <v/>
      </c>
      <c r="B19" s="8" t="inlineStr">
        <is>
          <t>src/routes/(app)/tutoring/*</t>
        </is>
      </c>
      <c r="C19" s="9">
        <f>COUNTA('TutoringMarketplace'!A5:A50)</f>
        <v/>
      </c>
      <c r="D19" s="10">
        <f>COUNTIF('TutoringMarketplace'!G5:G50, "🟢 Complete")</f>
        <v/>
      </c>
      <c r="E19" s="10">
        <f>COUNTIF('TutoringMarketplace'!G5:G50, "🟡 In Progress")</f>
        <v/>
      </c>
      <c r="F19" s="10">
        <f>COUNTIF('TutoringMarketplace'!G5:G50, "🔴 Missing / Blocked")</f>
        <v/>
      </c>
      <c r="G19" s="11">
        <f>IF(C19&gt;0, D19/C19, 0)</f>
        <v/>
      </c>
    </row>
    <row r="20">
      <c r="A20" s="12" t="inlineStr">
        <is>
          <t>TOTAL PLATFORM CAPABILITIES</t>
        </is>
      </c>
      <c r="B20" s="13" t="inlineStr"/>
      <c r="C20" s="14">
        <f>SUM(C12:C19)</f>
        <v/>
      </c>
      <c r="D20" s="14">
        <f>SUM(D12:D19)</f>
        <v/>
      </c>
      <c r="E20" s="14">
        <f>SUM(E12:E19)</f>
        <v/>
      </c>
      <c r="F20" s="14">
        <f>SUM(F12:F19)</f>
        <v/>
      </c>
      <c r="G20" s="15">
        <f>D20/C20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8" customWidth="1" min="1" max="1"/>
    <col width="38" customWidth="1" min="2" max="2"/>
    <col width="40" customWidth="1" min="3" max="3"/>
    <col width="49" customWidth="1" min="4" max="4"/>
    <col width="39" customWidth="1" min="5" max="5"/>
    <col width="40" customWidth="1" min="6" max="6"/>
    <col width="17" customWidth="1" min="7" max="7"/>
    <col width="40" customWidth="1" min="8" max="8"/>
  </cols>
  <sheetData>
    <row r="1"/>
    <row r="2">
      <c r="A2" s="1" t="inlineStr">
        <is>
          <t>GlobalAdminOS - Operational Feature Matrix</t>
        </is>
      </c>
    </row>
    <row r="3">
      <c r="A3" s="2" t="inlineStr">
        <is>
          <t>Tracks active visual regression test specifications and Google Jules code workflow blueprints.</t>
        </is>
      </c>
    </row>
    <row r="4"/>
    <row r="5">
      <c r="A5" s="16" t="inlineStr">
        <is>
          <t>Page/Component ID</t>
        </is>
      </c>
      <c r="B5" s="16" t="inlineStr">
        <is>
          <t>Page/Route Name</t>
        </is>
      </c>
      <c r="C5" s="16" t="inlineStr">
        <is>
          <t>Target File Path</t>
        </is>
      </c>
      <c r="D5" s="16" t="inlineStr">
        <is>
          <t>Active Workflow Blueprint File</t>
        </is>
      </c>
      <c r="E5" s="16" t="inlineStr">
        <is>
          <t>Playwright E2E Spec File</t>
        </is>
      </c>
      <c r="F5" s="16" t="inlineStr">
        <is>
          <t>Core Feature Scope / Requirements</t>
        </is>
      </c>
      <c r="G5" s="16" t="inlineStr">
        <is>
          <t>Launch Status</t>
        </is>
      </c>
      <c r="H5" s="16" t="inlineStr">
        <is>
          <t>Architecture / Gating Rules</t>
        </is>
      </c>
    </row>
    <row r="6">
      <c r="A6" s="10" t="inlineStr">
        <is>
          <t>AD-01-01</t>
        </is>
      </c>
      <c r="B6" s="8" t="inlineStr">
        <is>
          <t>Identity Impersonation API</t>
        </is>
      </c>
      <c r="C6" s="8" t="inlineStr">
        <is>
          <t>src/routes/api/auth/impersonate/+server.ts</t>
        </is>
      </c>
      <c r="D6" s="10" t="inlineStr">
        <is>
          <t>jules-secure-impersonation-gating-workflow.md</t>
        </is>
      </c>
      <c r="E6" s="10" t="inlineStr">
        <is>
          <t>secure-impersonation-gating.spec.ts</t>
        </is>
      </c>
      <c r="F6" s="8" t="inlineStr">
        <is>
          <t>Secure admin token generation via Firebase Admin SDK with a strict 15-minute lease (TTL). Ensures full audit trail committed to Firestore.</t>
        </is>
      </c>
      <c r="G6" s="17" t="inlineStr">
        <is>
          <t>🟢 Complete</t>
        </is>
      </c>
      <c r="H6" s="18" t="inlineStr">
        <is>
          <t>Wired directly into hooks.server.ts. Limits tenant scopes during active session. Strictly no raw database bypasses.</t>
        </is>
      </c>
    </row>
    <row r="7">
      <c r="A7" s="19" t="inlineStr">
        <is>
          <t>AD-01-02</t>
        </is>
      </c>
      <c r="B7" s="20" t="inlineStr">
        <is>
          <t>Absolute Minor Impersonation Block</t>
        </is>
      </c>
      <c r="C7" s="20" t="inlineStr">
        <is>
          <t>src/routes/api/auth/impersonate/+server.ts</t>
        </is>
      </c>
      <c r="D7" s="19" t="inlineStr">
        <is>
          <t>jules-secure-impersonation-gating-workflow.md</t>
        </is>
      </c>
      <c r="E7" s="19" t="inlineStr">
        <is>
          <t>secure-impersonation-gating.spec.ts</t>
        </is>
      </c>
      <c r="F7" s="20" t="inlineStr">
        <is>
          <t>Absolute server-side block on impersonating minors (&lt;18). Mints infraction logs directly to immutable secure /audit_logs/.</t>
        </is>
      </c>
      <c r="G7" s="17" t="inlineStr">
        <is>
          <t>🟢 Complete</t>
        </is>
      </c>
      <c r="H7" s="18" t="inlineStr">
        <is>
          <t>Returns 403 status code with 'IMPERSONATION_BLOCKED: TARGET_IS_MINOR' logic payload.</t>
        </is>
      </c>
    </row>
    <row r="8">
      <c r="A8" s="10" t="inlineStr">
        <is>
          <t>AD-01-03</t>
        </is>
      </c>
      <c r="B8" s="8" t="inlineStr">
        <is>
          <t>Administrative Overview Space</t>
        </is>
      </c>
      <c r="C8" s="8" t="inlineStr">
        <is>
          <t>src/routes/(app)/admin/overview/+page.svelte</t>
        </is>
      </c>
      <c r="D8" s="10" t="inlineStr">
        <is>
          <t>jules-comprehensive-brain-audit.md</t>
        </is>
      </c>
      <c r="E8" s="10" t="inlineStr">
        <is>
          <t>admin-behavioral-click.spec.ts</t>
        </is>
      </c>
      <c r="F8" s="8" t="inlineStr">
        <is>
          <t>Telemetry console dashboard tracking platform connections, system maintenance, and active 'Kill Switch' toggles.</t>
        </is>
      </c>
      <c r="G8" s="17" t="inlineStr">
        <is>
          <t>🟢 Complete</t>
        </is>
      </c>
      <c r="H8" s="18" t="inlineStr">
        <is>
          <t>Renders Geist Mono numeric cards and high-density SVG data plots. B815 defensive hydration wrapper active.</t>
        </is>
      </c>
    </row>
    <row r="9">
      <c r="A9" s="19" t="inlineStr">
        <is>
          <t>AD-02-01</t>
        </is>
      </c>
      <c r="B9" s="20" t="inlineStr">
        <is>
          <t>Global Users Geo-Visualizer</t>
        </is>
      </c>
      <c r="C9" s="20" t="inlineStr">
        <is>
          <t>src/routes/(app)/admin/users/+page.svelte</t>
        </is>
      </c>
      <c r="D9" s="19" t="inlineStr">
        <is>
          <t>system-audit-and-recovery.md</t>
        </is>
      </c>
      <c r="E9" s="19" t="inlineStr">
        <is>
          <t>admin-behavioral-click.spec.ts</t>
        </is>
      </c>
      <c r="F9" s="20" t="inlineStr">
        <is>
          <t>Dynamic, real-time spatial user connection grid showing geo-telemetry with PII masked at boundary.</t>
        </is>
      </c>
      <c r="G9" s="17" t="inlineStr">
        <is>
          <t>🟢 Complete</t>
        </is>
      </c>
      <c r="H9" s="18" t="inlineStr">
        <is>
          <t>Enforces Geist Mono formatting. Queries strictly restricted by Firebase Security rules.</t>
        </is>
      </c>
    </row>
  </sheetData>
  <dataValidations count="1">
    <dataValidation sqref="G6:G30" showDropDown="0" showInputMessage="0" showErrorMessage="0" allowBlank="1" type="list">
      <formula1>"🟢 Complete,🟡 In Progress,🔴 Missing / 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8" customWidth="1" min="1" max="1"/>
    <col width="34" customWidth="1" min="2" max="2"/>
    <col width="40" customWidth="1" min="3" max="3"/>
    <col width="45" customWidth="1" min="4" max="4"/>
    <col width="35" customWidth="1" min="5" max="5"/>
    <col width="40" customWidth="1" min="6" max="6"/>
    <col width="23" customWidth="1" min="7" max="7"/>
    <col width="40" customWidth="1" min="8" max="8"/>
  </cols>
  <sheetData>
    <row r="1"/>
    <row r="2">
      <c r="A2" s="1" t="inlineStr">
        <is>
          <t>CommissionerOS - Operational Feature Matrix</t>
        </is>
      </c>
    </row>
    <row r="3">
      <c r="A3" s="2" t="inlineStr">
        <is>
          <t>Tracks active visual regression test specifications and Google Jules code workflow blueprints.</t>
        </is>
      </c>
    </row>
    <row r="4"/>
    <row r="5">
      <c r="A5" s="16" t="inlineStr">
        <is>
          <t>Page/Component ID</t>
        </is>
      </c>
      <c r="B5" s="16" t="inlineStr">
        <is>
          <t>Page/Route Name</t>
        </is>
      </c>
      <c r="C5" s="16" t="inlineStr">
        <is>
          <t>Target File Path</t>
        </is>
      </c>
      <c r="D5" s="16" t="inlineStr">
        <is>
          <t>Active Workflow Blueprint File</t>
        </is>
      </c>
      <c r="E5" s="16" t="inlineStr">
        <is>
          <t>Playwright E2E Spec File</t>
        </is>
      </c>
      <c r="F5" s="16" t="inlineStr">
        <is>
          <t>Core Feature Scope / Requirements</t>
        </is>
      </c>
      <c r="G5" s="16" t="inlineStr">
        <is>
          <t>Launch Status</t>
        </is>
      </c>
      <c r="H5" s="16" t="inlineStr">
        <is>
          <t>Architecture / Gating Rules</t>
        </is>
      </c>
    </row>
    <row r="6">
      <c r="A6" s="10" t="inlineStr">
        <is>
          <t>CM-01-01</t>
        </is>
      </c>
      <c r="B6" s="8" t="inlineStr">
        <is>
          <t>Regional Tenant Scoping Matrix</t>
        </is>
      </c>
      <c r="C6" s="8" t="inlineStr">
        <is>
          <t>src/routes/(app)/commissioner/dashboard/+page.svelte</t>
        </is>
      </c>
      <c r="D6" s="10" t="inlineStr">
        <is>
          <t>jules-commissioner-federation-workflow.md</t>
        </is>
      </c>
      <c r="E6" s="10" t="inlineStr">
        <is>
          <t>commissioner-federation.spec.ts</t>
        </is>
      </c>
      <c r="F6" s="8" t="inlineStr">
        <is>
          <t>Read-only 'God-mode' dashboard aggregating player metrics, with regional locks blocking cross-state leaks.</t>
        </is>
      </c>
      <c r="G6" s="21" t="inlineStr">
        <is>
          <t>🔴 Missing / Blocked</t>
        </is>
      </c>
      <c r="H6" s="18" t="inlineStr">
        <is>
          <t>Strictly separate database views. Multi-tenant filters must lock access using active state/org ID claim.</t>
        </is>
      </c>
    </row>
    <row r="7">
      <c r="A7" s="19" t="inlineStr">
        <is>
          <t>CM-01-02</t>
        </is>
      </c>
      <c r="B7" s="20" t="inlineStr">
        <is>
          <t>Compliance &amp; Background Feed</t>
        </is>
      </c>
      <c r="C7" s="20" t="inlineStr">
        <is>
          <t>src/routes/(app)/commissioner/compliance/+page.svelte</t>
        </is>
      </c>
      <c r="D7" s="19" t="inlineStr">
        <is>
          <t>jules-commissioner-federation-workflow.md</t>
        </is>
      </c>
      <c r="E7" s="19" t="inlineStr">
        <is>
          <t>commissioner-federation.spec.ts</t>
        </is>
      </c>
      <c r="F7" s="20" t="inlineStr">
        <is>
          <t>Live auditing panel monitoring background checks (Checkr API) and annual SafeSport certifications across all clubs.</t>
        </is>
      </c>
      <c r="G7" s="21" t="inlineStr">
        <is>
          <t>🔴 Missing / Blocked</t>
        </is>
      </c>
      <c r="H7" s="18" t="inlineStr">
        <is>
          <t>Strictly un-editable logs. Injects instant alerts to regional directors upon compliance expiration.</t>
        </is>
      </c>
    </row>
    <row r="8">
      <c r="A8" s="10" t="inlineStr">
        <is>
          <t>CM-02-01</t>
        </is>
      </c>
      <c r="B8" s="8" t="inlineStr">
        <is>
          <t>Multi-Venue Bracket Scheduler</t>
        </is>
      </c>
      <c r="C8" s="8" t="inlineStr">
        <is>
          <t>src/routes/(app)/commissioner/scheduler/+page.svelte</t>
        </is>
      </c>
      <c r="D8" s="10" t="inlineStr">
        <is>
          <t>jules-commissioner-federation-workflow.md</t>
        </is>
      </c>
      <c r="E8" s="10" t="inlineStr">
        <is>
          <t>commissioner-federation.spec.ts</t>
        </is>
      </c>
      <c r="F8" s="8" t="inlineStr">
        <is>
          <t>Asynchronous tournament bracket builder with real-time field conflict warnings and multi-complex calendars.</t>
        </is>
      </c>
      <c r="G8" s="21" t="inlineStr">
        <is>
          <t>🔴 Missing / Blocked</t>
        </is>
      </c>
      <c r="H8" s="18" t="inlineStr">
        <is>
          <t>Svelte 5 canvas element strictly avoiding layout overlaps. Utilizes pure CSS Grid flow.</t>
        </is>
      </c>
    </row>
    <row r="9">
      <c r="A9" s="19" t="inlineStr">
        <is>
          <t>CM-02-02</t>
        </is>
      </c>
      <c r="B9" s="20" t="inlineStr">
        <is>
          <t>ODP Talent Pipeline Feed</t>
        </is>
      </c>
      <c r="C9" s="20" t="inlineStr">
        <is>
          <t>src/routes/(app)/commissioner/talent/+page.svelte</t>
        </is>
      </c>
      <c r="D9" s="19" t="inlineStr">
        <is>
          <t>jules-commissioner-federation-workflow.md</t>
        </is>
      </c>
      <c r="E9" s="19" t="inlineStr">
        <is>
          <t>commissioner-federation.spec.ts</t>
        </is>
      </c>
      <c r="F9" s="20" t="inlineStr">
        <is>
          <t>Scouting index compiling top candidate performance indexes based on clinical 6-axis skill tree reviews.</t>
        </is>
      </c>
      <c r="G9" s="21" t="inlineStr">
        <is>
          <t>🔴 Missing / Blocked</t>
        </is>
      </c>
      <c r="H9" s="18" t="inlineStr">
        <is>
          <t>Hides player contact and parent info until recruiter credentials checks are verified via Checkr API.</t>
        </is>
      </c>
    </row>
  </sheetData>
  <dataValidations count="1">
    <dataValidation sqref="G6:G30" showDropDown="0" showInputMessage="0" showErrorMessage="0" allowBlank="1" type="list">
      <formula1>"🟢 Complete,🟡 In Progress,🔴 Missing / 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8" customWidth="1" min="1" max="1"/>
    <col width="32" customWidth="1" min="2" max="2"/>
    <col width="40" customWidth="1" min="3" max="3"/>
    <col width="43" customWidth="1" min="4" max="4"/>
    <col width="37" customWidth="1" min="5" max="5"/>
    <col width="40" customWidth="1" min="6" max="6"/>
    <col width="17" customWidth="1" min="7" max="7"/>
    <col width="40" customWidth="1" min="8" max="8"/>
  </cols>
  <sheetData>
    <row r="1"/>
    <row r="2">
      <c r="A2" s="1" t="inlineStr">
        <is>
          <t>DirectorOS - Operational Feature Matrix</t>
        </is>
      </c>
    </row>
    <row r="3">
      <c r="A3" s="2" t="inlineStr">
        <is>
          <t>Tracks active visual regression test specifications and Google Jules code workflow blueprints.</t>
        </is>
      </c>
    </row>
    <row r="4"/>
    <row r="5">
      <c r="A5" s="16" t="inlineStr">
        <is>
          <t>Page/Component ID</t>
        </is>
      </c>
      <c r="B5" s="16" t="inlineStr">
        <is>
          <t>Page/Route Name</t>
        </is>
      </c>
      <c r="C5" s="16" t="inlineStr">
        <is>
          <t>Target File Path</t>
        </is>
      </c>
      <c r="D5" s="16" t="inlineStr">
        <is>
          <t>Active Workflow Blueprint File</t>
        </is>
      </c>
      <c r="E5" s="16" t="inlineStr">
        <is>
          <t>Playwright E2E Spec File</t>
        </is>
      </c>
      <c r="F5" s="16" t="inlineStr">
        <is>
          <t>Core Feature Scope / Requirements</t>
        </is>
      </c>
      <c r="G5" s="16" t="inlineStr">
        <is>
          <t>Launch Status</t>
        </is>
      </c>
      <c r="H5" s="16" t="inlineStr">
        <is>
          <t>Architecture / Gating Rules</t>
        </is>
      </c>
    </row>
    <row r="6">
      <c r="A6" s="10" t="inlineStr">
        <is>
          <t>DI-01-01</t>
        </is>
      </c>
      <c r="B6" s="8" t="inlineStr">
        <is>
          <t>Revenue Bento Board</t>
        </is>
      </c>
      <c r="C6" s="8" t="inlineStr">
        <is>
          <t>src/routes/(app)/director/dashboard/+page.svelte</t>
        </is>
      </c>
      <c r="D6" s="10" t="inlineStr">
        <is>
          <t>jules-director-os-polishing-workflow.md</t>
        </is>
      </c>
      <c r="E6" s="10" t="inlineStr">
        <is>
          <t>director-intel-perfection.spec.ts</t>
        </is>
      </c>
      <c r="F6" s="8" t="inlineStr">
        <is>
          <t>12-column asymmetric Bento Grid console charting daily revenue and financial metrics using fluid clamp() boundaries.</t>
        </is>
      </c>
      <c r="G6" s="17" t="inlineStr">
        <is>
          <t>🟢 Complete</t>
        </is>
      </c>
      <c r="H6" s="18" t="inlineStr">
        <is>
          <t>Uses Void Black backgrounds, Structural Grey borders, and Data Cyan accents. Auto-refresh infinite loop resolved.</t>
        </is>
      </c>
    </row>
    <row r="7">
      <c r="A7" s="19" t="inlineStr">
        <is>
          <t>DI-01-02</t>
        </is>
      </c>
      <c r="B7" s="20" t="inlineStr">
        <is>
          <t>Daily Intel Nav Integration</t>
        </is>
      </c>
      <c r="C7" s="20" t="inlineStr">
        <is>
          <t>src/lib/components/director/DirectorSidebar.svelte</t>
        </is>
      </c>
      <c r="D7" s="19" t="inlineStr">
        <is>
          <t>jules-director-os-polishing-workflow.md</t>
        </is>
      </c>
      <c r="E7" s="19" t="inlineStr">
        <is>
          <t>director-intel-perfection.spec.ts</t>
        </is>
      </c>
      <c r="F7" s="20" t="inlineStr">
        <is>
          <t>Integrated Daily Intel action link pinned to the absolute top of the navigation list for maximum visibility.</t>
        </is>
      </c>
      <c r="G7" s="17" t="inlineStr">
        <is>
          <t>🟢 Complete</t>
        </is>
      </c>
      <c r="H7" s="18" t="inlineStr">
        <is>
          <t>Matches high-end Atompunk styling. Features 150ms hover scale translations with 0px rounded corners.</t>
        </is>
      </c>
    </row>
    <row r="8">
      <c r="A8" s="10" t="inlineStr">
        <is>
          <t>DI-02-01</t>
        </is>
      </c>
      <c r="B8" s="8" t="inlineStr">
        <is>
          <t>Stripe Connect Onboarding</t>
        </is>
      </c>
      <c r="C8" s="8" t="inlineStr">
        <is>
          <t>src/routes/(app)/director/billing/+page.svelte</t>
        </is>
      </c>
      <c r="D8" s="10" t="inlineStr">
        <is>
          <t>jules-stripe-onboarding-workflow.md</t>
        </is>
      </c>
      <c r="E8" s="10" t="inlineStr">
        <is>
          <t>stripe-onboarding.spec.ts</t>
        </is>
      </c>
      <c r="F8" s="8" t="inlineStr">
        <is>
          <t>Automatic routing sequence driving directors directly to Stripe Connect billing enclaves during setup.</t>
        </is>
      </c>
      <c r="G8" s="17" t="inlineStr">
        <is>
          <t>🟢 Complete</t>
        </is>
      </c>
      <c r="H8" s="18" t="inlineStr">
        <is>
          <t>Bypasses standard base subscription walls. Employs transaction-fee split models ($0 base).</t>
        </is>
      </c>
    </row>
    <row r="9">
      <c r="A9" s="19" t="inlineStr">
        <is>
          <t>DI-03-01</t>
        </is>
      </c>
      <c r="B9" s="20" t="inlineStr">
        <is>
          <t>Vampire CSV Roster Ingestion</t>
        </is>
      </c>
      <c r="C9" s="20" t="inlineStr">
        <is>
          <t>src/lib/components/director/RosterImporter.svelte</t>
        </is>
      </c>
      <c r="D9" s="19" t="inlineStr">
        <is>
          <t>jules-roster-importer-workflow.md</t>
        </is>
      </c>
      <c r="E9" s="19" t="inlineStr">
        <is>
          <t>roster-importer.spec.ts</t>
        </is>
      </c>
      <c r="F9" s="20" t="inlineStr">
        <is>
          <t>Bulk csv parsing client throttling uploads to safe batches of 500 records to prevent Firestore locks.</t>
        </is>
      </c>
      <c r="G9" s="17" t="inlineStr">
        <is>
          <t>🟢 Complete</t>
        </is>
      </c>
      <c r="H9" s="18" t="inlineStr">
        <is>
          <t>Converts raw client files (DOB, first, last name) into Svelte schemas. Displays progress bar in untrack blocks.</t>
        </is>
      </c>
    </row>
  </sheetData>
  <dataValidations count="1">
    <dataValidation sqref="G6:G30" showDropDown="0" showInputMessage="0" showErrorMessage="0" allowBlank="1" type="list">
      <formula1>"🟢 Complete,🟡 In Progress,🔴 Missing / 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8" customWidth="1" min="1" max="1"/>
    <col width="37" customWidth="1" min="2" max="2"/>
    <col width="40" customWidth="1" min="3" max="3"/>
    <col width="42" customWidth="1" min="4" max="4"/>
    <col width="34" customWidth="1" min="5" max="5"/>
    <col width="40" customWidth="1" min="6" max="6"/>
    <col width="23" customWidth="1" min="7" max="7"/>
    <col width="40" customWidth="1" min="8" max="8"/>
  </cols>
  <sheetData>
    <row r="1"/>
    <row r="2">
      <c r="A2" s="1" t="inlineStr">
        <is>
          <t>CoachOS - Operational Feature Matrix</t>
        </is>
      </c>
    </row>
    <row r="3">
      <c r="A3" s="2" t="inlineStr">
        <is>
          <t>Tracks active visual regression test specifications and Google Jules code workflow blueprints.</t>
        </is>
      </c>
    </row>
    <row r="4"/>
    <row r="5">
      <c r="A5" s="16" t="inlineStr">
        <is>
          <t>Page/Component ID</t>
        </is>
      </c>
      <c r="B5" s="16" t="inlineStr">
        <is>
          <t>Page/Route Name</t>
        </is>
      </c>
      <c r="C5" s="16" t="inlineStr">
        <is>
          <t>Target File Path</t>
        </is>
      </c>
      <c r="D5" s="16" t="inlineStr">
        <is>
          <t>Active Workflow Blueprint File</t>
        </is>
      </c>
      <c r="E5" s="16" t="inlineStr">
        <is>
          <t>Playwright E2E Spec File</t>
        </is>
      </c>
      <c r="F5" s="16" t="inlineStr">
        <is>
          <t>Core Feature Scope / Requirements</t>
        </is>
      </c>
      <c r="G5" s="16" t="inlineStr">
        <is>
          <t>Launch Status</t>
        </is>
      </c>
      <c r="H5" s="16" t="inlineStr">
        <is>
          <t>Architecture / Gating Rules</t>
        </is>
      </c>
    </row>
    <row r="6">
      <c r="A6" s="10" t="inlineStr">
        <is>
          <t>CO-01-01</t>
        </is>
      </c>
      <c r="B6" s="8" t="inlineStr">
        <is>
          <t>Unified System HUD</t>
        </is>
      </c>
      <c r="C6" s="8" t="inlineStr">
        <is>
          <t>src/lib/components/coach/grid/TacticalHUD.svelte</t>
        </is>
      </c>
      <c r="D6" s="10" t="inlineStr">
        <is>
          <t>antigravity-tactical-hud-refinement.md</t>
        </is>
      </c>
      <c r="E6" s="10" t="inlineStr">
        <is>
          <t>tactical-war-room-v3.spec.ts</t>
        </is>
      </c>
      <c r="F6" s="8" t="inlineStr">
        <is>
          <t>Consolidated Glass floating dashboard overlay grouping Roster, Tools, and Help manuals in a single clean popover.</t>
        </is>
      </c>
      <c r="G6" s="17" t="inlineStr">
        <is>
          <t>🟢 Complete</t>
        </is>
      </c>
      <c r="H6" s="18" t="inlineStr">
        <is>
          <t>Features three clear tabs: ROSTER, TOOLS, HELP. Strictly 90-degree corners with no ambient glowing shadows.</t>
        </is>
      </c>
    </row>
    <row r="7">
      <c r="A7" s="19" t="inlineStr">
        <is>
          <t>CO-01-02</t>
        </is>
      </c>
      <c r="B7" s="20" t="inlineStr">
        <is>
          <t>Bezier Curve Spatial Designer</t>
        </is>
      </c>
      <c r="C7" s="20" t="inlineStr">
        <is>
          <t>src/routes/(app)/coach/war-room/+page.svelte</t>
        </is>
      </c>
      <c r="D7" s="19" t="inlineStr">
        <is>
          <t>jules-ultimate-war-room-workflow.md</t>
        </is>
      </c>
      <c r="E7" s="19" t="inlineStr">
        <is>
          <t>tactical-war-room-v3.spec.ts</t>
        </is>
      </c>
      <c r="F7" s="20" t="inlineStr">
        <is>
          <t>Full-screen vector tactics board utilizing draggable Bézier curve hooks to map team formations and patterns.</t>
        </is>
      </c>
      <c r="G7" s="17" t="inlineStr">
        <is>
          <t>🟢 Complete</t>
        </is>
      </c>
      <c r="H7" s="18" t="inlineStr">
        <is>
          <t>Intercepts context-clicks to instantly drop custom player and opponent circles carrying position tags.</t>
        </is>
      </c>
    </row>
    <row r="8">
      <c r="A8" s="10" t="inlineStr">
        <is>
          <t>CO-02-01</t>
        </is>
      </c>
      <c r="B8" s="8" t="inlineStr">
        <is>
          <t>Live Match Day Console</t>
        </is>
      </c>
      <c r="C8" s="8" t="inlineStr">
        <is>
          <t>src/routes/(app)/coach/matchday/+page.svelte</t>
        </is>
      </c>
      <c r="D8" s="10" t="inlineStr">
        <is>
          <t>jules-coach-matchday-workflow.md</t>
        </is>
      </c>
      <c r="E8" s="10" t="inlineStr">
        <is>
          <t>coach-matchday.spec.ts</t>
        </is>
      </c>
      <c r="F8" s="8" t="inlineStr">
        <is>
          <t>Real-time event logger triggering Goals, Cards, Subs. Displays TARGET coaching advice feeds continuously.</t>
        </is>
      </c>
      <c r="G8" s="17" t="inlineStr">
        <is>
          <t>🟢 Complete</t>
        </is>
      </c>
      <c r="H8" s="18" t="inlineStr">
        <is>
          <t>Actions resolve in under 14ms. Displays 'Car Ride Home' amber warnings blocking metric views on whistle.</t>
        </is>
      </c>
    </row>
    <row r="9">
      <c r="A9" s="19" t="inlineStr">
        <is>
          <t>CO-03-01</t>
        </is>
      </c>
      <c r="B9" s="20" t="inlineStr">
        <is>
          <t>Assistant Coach Permissions Board</t>
        </is>
      </c>
      <c r="C9" s="20" t="inlineStr">
        <is>
          <t>src/routes/(app)/coach/staff/+page.svelte</t>
        </is>
      </c>
      <c r="D9" s="19" t="inlineStr">
        <is>
          <t>jules-coach-staff-workflow.md</t>
        </is>
      </c>
      <c r="E9" s="19" t="inlineStr">
        <is>
          <t>coach-staff-management.spec.ts</t>
        </is>
      </c>
      <c r="F9" s="20" t="inlineStr">
        <is>
          <t>Logistics manager dashboard mapping training sessions and validating SafeSport/Scan requirements for assistant coaches.</t>
        </is>
      </c>
      <c r="G9" s="21" t="inlineStr">
        <is>
          <t>🔴 Missing / Blocked</t>
        </is>
      </c>
      <c r="H9" s="18" t="inlineStr">
        <is>
          <t>Svelte 5 reactivity checks preventing loop states. Locks assistant actions unless cleared state matches DB.</t>
        </is>
      </c>
    </row>
    <row r="10">
      <c r="A10" s="10" t="inlineStr">
        <is>
          <t>CO-04-01</t>
        </is>
      </c>
      <c r="B10" s="8" t="inlineStr">
        <is>
          <t>State ODP Pipeline Analytics</t>
        </is>
      </c>
      <c r="C10" s="8" t="inlineStr">
        <is>
          <t>src/routes/(app)/coach/odp/+page.svelte</t>
        </is>
      </c>
      <c r="D10" s="10" t="inlineStr">
        <is>
          <t>jules-coach-odp-workflow.md</t>
        </is>
      </c>
      <c r="E10" s="10" t="inlineStr">
        <is>
          <t>coach-odp-analytics.spec.ts</t>
        </is>
      </c>
      <c r="F10" s="8" t="inlineStr">
        <is>
          <t>Aggregated team performance analytics highlighting player benchmarks against state/national ODP standards.</t>
        </is>
      </c>
      <c r="G10" s="21" t="inlineStr">
        <is>
          <t>🔴 Missing / Blocked</t>
        </is>
      </c>
      <c r="H10" s="18" t="inlineStr">
        <is>
          <t>Read-only dataset with no PII exposure. Features full asymmetric grid with sharp Atompunk borders.</t>
        </is>
      </c>
    </row>
  </sheetData>
  <dataValidations count="1">
    <dataValidation sqref="G6:G30" showDropDown="0" showInputMessage="0" showErrorMessage="0" allowBlank="1" type="list">
      <formula1>"🟢 Complete,🟡 In Progress,🔴 Missing / 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8" customWidth="1" min="1" max="1"/>
    <col width="32" customWidth="1" min="2" max="2"/>
    <col width="40" customWidth="1" min="3" max="3"/>
    <col width="41" customWidth="1" min="4" max="4"/>
    <col width="46" customWidth="1" min="5" max="5"/>
    <col width="40" customWidth="1" min="6" max="6"/>
    <col width="23" customWidth="1" min="7" max="7"/>
    <col width="40" customWidth="1" min="8" max="8"/>
  </cols>
  <sheetData>
    <row r="1"/>
    <row r="2">
      <c r="A2" s="1" t="inlineStr">
        <is>
          <t>PlayerOS - Operational Feature Matrix</t>
        </is>
      </c>
    </row>
    <row r="3">
      <c r="A3" s="2" t="inlineStr">
        <is>
          <t>Tracks active visual regression test specifications and Google Jules code workflow blueprints.</t>
        </is>
      </c>
    </row>
    <row r="4"/>
    <row r="5">
      <c r="A5" s="16" t="inlineStr">
        <is>
          <t>Page/Component ID</t>
        </is>
      </c>
      <c r="B5" s="16" t="inlineStr">
        <is>
          <t>Page/Route Name</t>
        </is>
      </c>
      <c r="C5" s="16" t="inlineStr">
        <is>
          <t>Target File Path</t>
        </is>
      </c>
      <c r="D5" s="16" t="inlineStr">
        <is>
          <t>Active Workflow Blueprint File</t>
        </is>
      </c>
      <c r="E5" s="16" t="inlineStr">
        <is>
          <t>Playwright E2E Spec File</t>
        </is>
      </c>
      <c r="F5" s="16" t="inlineStr">
        <is>
          <t>Core Feature Scope / Requirements</t>
        </is>
      </c>
      <c r="G5" s="16" t="inlineStr">
        <is>
          <t>Launch Status</t>
        </is>
      </c>
      <c r="H5" s="16" t="inlineStr">
        <is>
          <t>Architecture / Gating Rules</t>
        </is>
      </c>
    </row>
    <row r="6">
      <c r="A6" s="10" t="inlineStr">
        <is>
          <t>PL-01-01</t>
        </is>
      </c>
      <c r="B6" s="8" t="inlineStr">
        <is>
          <t>Dopamine Daily Streak Arena</t>
        </is>
      </c>
      <c r="C6" s="8" t="inlineStr">
        <is>
          <t>src/routes/(app)/player/dashboard/+page.svelte</t>
        </is>
      </c>
      <c r="D6" s="10" t="inlineStr">
        <is>
          <t>jules-player-streak-workflow.md</t>
        </is>
      </c>
      <c r="E6" s="10" t="inlineStr">
        <is>
          <t>player-streak-arena.spec.ts</t>
        </is>
      </c>
      <c r="F6" s="8" t="inlineStr">
        <is>
          <t>Highly engaging daily dashboard mapping active touch streaks, deliberative play touches, and streak freeze enclaves.</t>
        </is>
      </c>
      <c r="G6" s="21" t="inlineStr">
        <is>
          <t>🔴 Missing / Blocked</t>
        </is>
      </c>
      <c r="H6" s="18" t="inlineStr">
        <is>
          <t>Void Black Gaming HUD with chamfered outer card boundaries. Features one primary Action Gold CTA (#fbbf24) per view.</t>
        </is>
      </c>
    </row>
    <row r="7">
      <c r="A7" s="19" t="inlineStr">
        <is>
          <t>PL-02-01</t>
        </is>
      </c>
      <c r="B7" s="20" t="inlineStr">
        <is>
          <t>6-Axis Vanguard Skill Tree</t>
        </is>
      </c>
      <c r="C7" s="20" t="inlineStr">
        <is>
          <t>src/routes/(app)/player/skills/+page.svelte</t>
        </is>
      </c>
      <c r="D7" s="19" t="inlineStr">
        <is>
          <t>jules-player-skilltree-workflow.md</t>
        </is>
      </c>
      <c r="E7" s="19" t="inlineStr">
        <is>
          <t>player-skill-tree.spec.ts</t>
        </is>
      </c>
      <c r="F7" s="20" t="inlineStr">
        <is>
          <t>Interactive skill matrices plotting player progress on custom 6-axis Radar charts, with 2% automatic skill decay scheduler.</t>
        </is>
      </c>
      <c r="G7" s="21" t="inlineStr">
        <is>
          <t>🔴 Missing / Blocked</t>
        </is>
      </c>
      <c r="H7" s="18" t="inlineStr">
        <is>
          <t>SVG-based radar view strictly avoiding Canvas APIs. Integrates 1000Hz ball camera MediaPipe telemetry.</t>
        </is>
      </c>
    </row>
    <row r="8">
      <c r="A8" s="10" t="inlineStr">
        <is>
          <t>PL-03-01</t>
        </is>
      </c>
      <c r="B8" s="8" t="inlineStr">
        <is>
          <t>Mistake Overcoming Ritual UI</t>
        </is>
      </c>
      <c r="C8" s="8" t="inlineStr">
        <is>
          <t>src/lib/components/player/MistakeResetOverlay.svelte</t>
        </is>
      </c>
      <c r="D8" s="10" t="inlineStr">
        <is>
          <t>tactical-mistake-recovery-workflow.md</t>
        </is>
      </c>
      <c r="E8" s="10" t="inlineStr">
        <is>
          <t>tactical-mistake-recovery-workflow.spec.ts</t>
        </is>
      </c>
      <c r="F8" s="8" t="inlineStr">
        <is>
          <t>Tactile popup canvas forcing a 3-step kinetic grounding sequence the moment a physical or tactical error is logged.</t>
        </is>
      </c>
      <c r="G8" s="17" t="inlineStr">
        <is>
          <t>🟢 Complete</t>
        </is>
      </c>
      <c r="H8" s="18" t="inlineStr">
        <is>
          <t>Displays encrypted 3-second 'Practice makes progress' fade overlay. Block clicks, forces instant canvas wipe on reset.</t>
        </is>
      </c>
    </row>
    <row r="9">
      <c r="A9" s="19" t="inlineStr">
        <is>
          <t>PL-04-01</t>
        </is>
      </c>
      <c r="B9" s="20" t="inlineStr">
        <is>
          <t>SafeSport Shadow CC Inbox</t>
        </is>
      </c>
      <c r="C9" s="20" t="inlineStr">
        <is>
          <t>src/routes/(app)/player/messages/+page.svelte</t>
        </is>
      </c>
      <c r="D9" s="19" t="inlineStr">
        <is>
          <t>jules-player-safesport-workflow.md</t>
        </is>
      </c>
      <c r="E9" s="19" t="inlineStr">
        <is>
          <t>player-safesport-inbox.spec.ts</t>
        </is>
      </c>
      <c r="F9" s="20" t="inlineStr">
        <is>
          <t>Secure team direct messaging panel that automatically duplicates and BCCs all adult-to-minor threads to parents.</t>
        </is>
      </c>
      <c r="G9" s="21" t="inlineStr">
        <is>
          <t>🔴 Missing / Blocked</t>
        </is>
      </c>
      <c r="H9" s="18" t="inlineStr">
        <is>
          <t>Fails-safe by blocking 1-on-1 adult-minor communication. Initiated strictly via server-side triggers.</t>
        </is>
      </c>
    </row>
  </sheetData>
  <dataValidations count="1">
    <dataValidation sqref="G6:G30" showDropDown="0" showInputMessage="0" showErrorMessage="0" allowBlank="1" type="list">
      <formula1>"🟢 Complete,🟡 In Progress,🔴 Missing / 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8" customWidth="1" min="1" max="1"/>
    <col width="37" customWidth="1" min="2" max="2"/>
    <col width="40" customWidth="1" min="3" max="3"/>
    <col width="39" customWidth="1" min="4" max="4"/>
    <col width="29" customWidth="1" min="5" max="5"/>
    <col width="40" customWidth="1" min="6" max="6"/>
    <col width="23" customWidth="1" min="7" max="7"/>
    <col width="40" customWidth="1" min="8" max="8"/>
  </cols>
  <sheetData>
    <row r="1"/>
    <row r="2">
      <c r="A2" s="1" t="inlineStr">
        <is>
          <t>ParentOS - Operational Feature Matrix</t>
        </is>
      </c>
    </row>
    <row r="3">
      <c r="A3" s="2" t="inlineStr">
        <is>
          <t>Tracks active visual regression test specifications and Google Jules code workflow blueprints.</t>
        </is>
      </c>
    </row>
    <row r="4"/>
    <row r="5">
      <c r="A5" s="16" t="inlineStr">
        <is>
          <t>Page/Component ID</t>
        </is>
      </c>
      <c r="B5" s="16" t="inlineStr">
        <is>
          <t>Page/Route Name</t>
        </is>
      </c>
      <c r="C5" s="16" t="inlineStr">
        <is>
          <t>Target File Path</t>
        </is>
      </c>
      <c r="D5" s="16" t="inlineStr">
        <is>
          <t>Active Workflow Blueprint File</t>
        </is>
      </c>
      <c r="E5" s="16" t="inlineStr">
        <is>
          <t>Playwright E2E Spec File</t>
        </is>
      </c>
      <c r="F5" s="16" t="inlineStr">
        <is>
          <t>Core Feature Scope / Requirements</t>
        </is>
      </c>
      <c r="G5" s="16" t="inlineStr">
        <is>
          <t>Launch Status</t>
        </is>
      </c>
      <c r="H5" s="16" t="inlineStr">
        <is>
          <t>Architecture / Gating Rules</t>
        </is>
      </c>
    </row>
    <row r="6">
      <c r="A6" s="10" t="inlineStr">
        <is>
          <t>PA-01-01</t>
        </is>
      </c>
      <c r="B6" s="8" t="inlineStr">
        <is>
          <t>COPPA Verifiable Consent Gate</t>
        </is>
      </c>
      <c r="C6" s="8" t="inlineStr">
        <is>
          <t>src/routes/(app)/parent/compliance/+page.svelte</t>
        </is>
      </c>
      <c r="D6" s="10" t="inlineStr">
        <is>
          <t>jules-parent-compliance-workflow.md</t>
        </is>
      </c>
      <c r="E6" s="10" t="inlineStr">
        <is>
          <t>parent-compliance.spec.ts</t>
        </is>
      </c>
      <c r="F6" s="8" t="inlineStr">
        <is>
          <t>VPC identity gating challenge restricting child registrations until parent credit card signatures are authorized.</t>
        </is>
      </c>
      <c r="G6" s="21" t="inlineStr">
        <is>
          <t>🔴 Missing / Blocked</t>
        </is>
      </c>
      <c r="H6" s="18" t="inlineStr">
        <is>
          <t>Calm flat design with exactly 24px rounded corners. Strictly zero gamification elements or glowing borders.</t>
        </is>
      </c>
    </row>
    <row r="7">
      <c r="A7" s="19" t="inlineStr">
        <is>
          <t>PA-02-01</t>
        </is>
      </c>
      <c r="B7" s="20" t="inlineStr">
        <is>
          <t>Emotional Safety Performance Feed</t>
        </is>
      </c>
      <c r="C7" s="20" t="inlineStr">
        <is>
          <t>src/routes/(app)/parent/feed/+page.svelte</t>
        </is>
      </c>
      <c r="D7" s="19" t="inlineStr">
        <is>
          <t>jules-parent-compliance-workflow.md</t>
        </is>
      </c>
      <c r="E7" s="19" t="inlineStr">
        <is>
          <t>parent-compliance.spec.ts</t>
        </is>
      </c>
      <c r="F7" s="20" t="inlineStr">
        <is>
          <t>Qualitative athletic log displaying coach game reviews, completely stripped of metrics and numerical standings.</t>
        </is>
      </c>
      <c r="G7" s="21" t="inlineStr">
        <is>
          <t>🔴 Missing / Blocked</t>
        </is>
      </c>
      <c r="H7" s="18" t="inlineStr">
        <is>
          <t>Provides parents with direct forms to review coaching behaviors and audit match day TARGET adherence.</t>
        </is>
      </c>
    </row>
  </sheetData>
  <dataValidations count="1">
    <dataValidation sqref="G6:G30" showDropDown="0" showInputMessage="0" showErrorMessage="0" allowBlank="1" type="list">
      <formula1>"🟢 Complete,🟡 In Progress,🔴 Missing / 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8" customWidth="1" min="1" max="1"/>
    <col width="38" customWidth="1" min="2" max="2"/>
    <col width="40" customWidth="1" min="3" max="3"/>
    <col width="35" customWidth="1" min="4" max="4"/>
    <col width="28" customWidth="1" min="5" max="5"/>
    <col width="40" customWidth="1" min="6" max="6"/>
    <col width="23" customWidth="1" min="7" max="7"/>
    <col width="40" customWidth="1" min="8" max="8"/>
  </cols>
  <sheetData>
    <row r="1"/>
    <row r="2">
      <c r="A2" s="1" t="inlineStr">
        <is>
          <t>FanOS &amp; Recruiter - Operational Feature Matrix</t>
        </is>
      </c>
    </row>
    <row r="3">
      <c r="A3" s="2" t="inlineStr">
        <is>
          <t>Tracks active visual regression test specifications and Google Jules code workflow blueprints.</t>
        </is>
      </c>
    </row>
    <row r="4"/>
    <row r="5">
      <c r="A5" s="16" t="inlineStr">
        <is>
          <t>Page/Component ID</t>
        </is>
      </c>
      <c r="B5" s="16" t="inlineStr">
        <is>
          <t>Page/Route Name</t>
        </is>
      </c>
      <c r="C5" s="16" t="inlineStr">
        <is>
          <t>Target File Path</t>
        </is>
      </c>
      <c r="D5" s="16" t="inlineStr">
        <is>
          <t>Active Workflow Blueprint File</t>
        </is>
      </c>
      <c r="E5" s="16" t="inlineStr">
        <is>
          <t>Playwright E2E Spec File</t>
        </is>
      </c>
      <c r="F5" s="16" t="inlineStr">
        <is>
          <t>Core Feature Scope / Requirements</t>
        </is>
      </c>
      <c r="G5" s="16" t="inlineStr">
        <is>
          <t>Launch Status</t>
        </is>
      </c>
      <c r="H5" s="16" t="inlineStr">
        <is>
          <t>Architecture / Gating Rules</t>
        </is>
      </c>
    </row>
    <row r="6">
      <c r="A6" s="10" t="inlineStr">
        <is>
          <t>FR-01-01</t>
        </is>
      </c>
      <c r="B6" s="8" t="inlineStr">
        <is>
          <t>Stripe Superdraw Broadcast Overlay</t>
        </is>
      </c>
      <c r="C6" s="8" t="inlineStr">
        <is>
          <t>src/routes/(app)/fan/stream/+page.svelte</t>
        </is>
      </c>
      <c r="D6" s="10" t="inlineStr">
        <is>
          <t>jules-fan-recruiter-workflow.md</t>
        </is>
      </c>
      <c r="E6" s="10" t="inlineStr">
        <is>
          <t>fan-recruiter.spec.ts</t>
        </is>
      </c>
      <c r="F6" s="8" t="inlineStr">
        <is>
          <t>Live stream viewer equipped with digital ticketing, 60-minute fundraising alerts, and digital confetti overlay loops.</t>
        </is>
      </c>
      <c r="G6" s="21" t="inlineStr">
        <is>
          <t>🔴 Missing / Blocked</t>
        </is>
      </c>
      <c r="H6" s="18" t="inlineStr">
        <is>
          <t>Void Black overlay with high-contrast Cyan and Gold buttons. Synchronized safely with Stripe SDK API.</t>
        </is>
      </c>
    </row>
    <row r="7">
      <c r="A7" s="19" t="inlineStr">
        <is>
          <t>FR-02-01</t>
        </is>
      </c>
      <c r="B7" s="20" t="inlineStr">
        <is>
          <t>Recruiter Vetting Search Engine</t>
        </is>
      </c>
      <c r="C7" s="20" t="inlineStr">
        <is>
          <t>src/routes/(app)/recruiter/search/+page.svelte</t>
        </is>
      </c>
      <c r="D7" s="19" t="inlineStr">
        <is>
          <t>jules-fan-recruiter-workflow.md</t>
        </is>
      </c>
      <c r="E7" s="19" t="inlineStr">
        <is>
          <t>fan-recruiter.spec.ts</t>
        </is>
      </c>
      <c r="F7" s="20" t="inlineStr">
        <is>
          <t>Database search query engine that blocks candidate profiles unless active coach has clear background checks.</t>
        </is>
      </c>
      <c r="G7" s="21" t="inlineStr">
        <is>
          <t>🔴 Missing / Blocked</t>
        </is>
      </c>
      <c r="H7" s="18" t="inlineStr">
        <is>
          <t>Filters out minor player contact details. Verified behind secure Checkr API certification check tags.</t>
        </is>
      </c>
    </row>
  </sheetData>
  <dataValidations count="1">
    <dataValidation sqref="G6:G30" showDropDown="0" showInputMessage="0" showErrorMessage="0" allowBlank="1" type="list">
      <formula1>"🟢 Complete,🟡 In Progress,🔴 Missing / 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8" customWidth="1" min="1" max="1"/>
    <col width="33" customWidth="1" min="2" max="2"/>
    <col width="40" customWidth="1" min="3" max="3"/>
    <col width="42" customWidth="1" min="4" max="4"/>
    <col width="32" customWidth="1" min="5" max="5"/>
    <col width="40" customWidth="1" min="6" max="6"/>
    <col width="23" customWidth="1" min="7" max="7"/>
    <col width="40" customWidth="1" min="8" max="8"/>
  </cols>
  <sheetData>
    <row r="1"/>
    <row r="2">
      <c r="A2" s="1" t="inlineStr">
        <is>
          <t>TutoringMarketplace - Operational Feature Matrix</t>
        </is>
      </c>
    </row>
    <row r="3">
      <c r="A3" s="2" t="inlineStr">
        <is>
          <t>Tracks active visual regression test specifications and Google Jules code workflow blueprints.</t>
        </is>
      </c>
    </row>
    <row r="4"/>
    <row r="5">
      <c r="A5" s="16" t="inlineStr">
        <is>
          <t>Page/Component ID</t>
        </is>
      </c>
      <c r="B5" s="16" t="inlineStr">
        <is>
          <t>Page/Route Name</t>
        </is>
      </c>
      <c r="C5" s="16" t="inlineStr">
        <is>
          <t>Target File Path</t>
        </is>
      </c>
      <c r="D5" s="16" t="inlineStr">
        <is>
          <t>Active Workflow Blueprint File</t>
        </is>
      </c>
      <c r="E5" s="16" t="inlineStr">
        <is>
          <t>Playwright E2E Spec File</t>
        </is>
      </c>
      <c r="F5" s="16" t="inlineStr">
        <is>
          <t>Core Feature Scope / Requirements</t>
        </is>
      </c>
      <c r="G5" s="16" t="inlineStr">
        <is>
          <t>Launch Status</t>
        </is>
      </c>
      <c r="H5" s="16" t="inlineStr">
        <is>
          <t>Architecture / Gating Rules</t>
        </is>
      </c>
    </row>
    <row r="6">
      <c r="A6" s="10" t="inlineStr">
        <is>
          <t>TM-01-01</t>
        </is>
      </c>
      <c r="B6" s="8" t="inlineStr">
        <is>
          <t>Tutoring Skill Directory</t>
        </is>
      </c>
      <c r="C6" s="8" t="inlineStr">
        <is>
          <t>src/routes/(app)/tutoring/search/+page.svelte</t>
        </is>
      </c>
      <c r="D6" s="10" t="inlineStr">
        <is>
          <t>jules-tutoring-marketplace-workflow.md</t>
        </is>
      </c>
      <c r="E6" s="10" t="inlineStr">
        <is>
          <t>tutoring-marketplace.spec.ts</t>
        </is>
      </c>
      <c r="F6" s="8" t="inlineStr">
        <is>
          <t>Targeted booking directory designed for parents and directors to source certified local trainers for specific soccer skills.</t>
        </is>
      </c>
      <c r="G6" s="21" t="inlineStr">
        <is>
          <t>🔴 Missing / Blocked</t>
        </is>
      </c>
      <c r="H6" s="18" t="inlineStr">
        <is>
          <t>Restricted directory search strictly filtered by active sport branch. Free listings with Stripe Destination Charges.</t>
        </is>
      </c>
    </row>
    <row r="7">
      <c r="A7" s="19" t="inlineStr">
        <is>
          <t>TM-01-02</t>
        </is>
      </c>
      <c r="B7" s="20" t="inlineStr">
        <is>
          <t>Marketplace SafeSport Lockout</t>
        </is>
      </c>
      <c r="C7" s="20" t="inlineStr">
        <is>
          <t>src/routes/(app)/tutoring/search/+page.svelte</t>
        </is>
      </c>
      <c r="D7" s="19" t="inlineStr">
        <is>
          <t>jules-tutoring-marketplace-workflow.md</t>
        </is>
      </c>
      <c r="E7" s="19" t="inlineStr">
        <is>
          <t>tutoring-marketplace.spec.ts</t>
        </is>
      </c>
      <c r="F7" s="20" t="inlineStr">
        <is>
          <t>Strict database access guard hard-blocking any lookup attempts or queries initiated from Player OS screens.</t>
        </is>
      </c>
      <c r="G7" s="21" t="inlineStr">
        <is>
          <t>🔴 Missing / Blocked</t>
        </is>
      </c>
      <c r="H7" s="18" t="inlineStr">
        <is>
          <t>Protects minor safety. Completely invisible to children. B815 hydration rules completely active.</t>
        </is>
      </c>
    </row>
  </sheetData>
  <dataValidations count="1">
    <dataValidation sqref="G6:G30" showDropDown="0" showInputMessage="0" showErrorMessage="0" allowBlank="1" type="list">
      <formula1>"🟢 Complete,🟡 In Progress,🔴 Missing / 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2026-08-23T04:58:03Z</dcterms:created>
  <dcterms:modified xmlns:dcterms="http://purl.org/dc/terms/" xmlns:xsi="http://www.w3.org/2001/XMLSchema-instance" xsi:type="dcterms:W3CDTF">2026-08-23T04:58:03Z</dcterms:modified>
</cp:coreProperties>
</file>